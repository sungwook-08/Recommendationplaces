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ropbox\수업\타. 공동교육과정\2026 응용프로그래밍\10주차 실습\"/>
    </mc:Choice>
  </mc:AlternateContent>
  <bookViews>
    <workbookView xWindow="0" yWindow="0" windowWidth="25600" windowHeight="12050" activeTab="4"/>
  </bookViews>
  <sheets>
    <sheet name="기존데이터" sheetId="1" r:id="rId1"/>
    <sheet name="장소정보" sheetId="2" r:id="rId2"/>
    <sheet name="추천정보" sheetId="3" r:id="rId3"/>
    <sheet name="조인결과예시" sheetId="4" r:id="rId4"/>
    <sheet name="실습안내" sheetId="5" r:id="rId5"/>
    <sheet name="요약" sheetId="6" r:id="rId6"/>
  </sheets>
  <calcPr calcId="162913"/>
</workbook>
</file>

<file path=xl/calcChain.xml><?xml version="1.0" encoding="utf-8"?>
<calcChain xmlns="http://schemas.openxmlformats.org/spreadsheetml/2006/main">
  <c r="B5" i="6" l="1"/>
  <c r="B4" i="6"/>
  <c r="B3" i="6"/>
  <c r="B2" i="6"/>
  <c r="M16" i="4"/>
  <c r="L16" i="4"/>
  <c r="K16" i="4"/>
  <c r="J16" i="4"/>
  <c r="I16" i="4"/>
  <c r="H16" i="4"/>
  <c r="B16" i="4"/>
  <c r="A16" i="4"/>
  <c r="M15" i="4"/>
  <c r="L15" i="4"/>
  <c r="K15" i="4"/>
  <c r="J15" i="4"/>
  <c r="I15" i="4"/>
  <c r="H15" i="4"/>
  <c r="B15" i="4"/>
  <c r="A15" i="4"/>
  <c r="M14" i="4"/>
  <c r="L14" i="4"/>
  <c r="K14" i="4"/>
  <c r="J14" i="4"/>
  <c r="I14" i="4"/>
  <c r="H14" i="4"/>
  <c r="B14" i="4"/>
  <c r="A14" i="4"/>
  <c r="M13" i="4"/>
  <c r="L13" i="4"/>
  <c r="K13" i="4"/>
  <c r="J13" i="4"/>
  <c r="I13" i="4"/>
  <c r="H13" i="4"/>
  <c r="B13" i="4"/>
  <c r="A13" i="4"/>
  <c r="M12" i="4"/>
  <c r="L12" i="4"/>
  <c r="K12" i="4"/>
  <c r="J12" i="4"/>
  <c r="I12" i="4"/>
  <c r="H12" i="4"/>
  <c r="B12" i="4"/>
  <c r="A12" i="4"/>
  <c r="M11" i="4"/>
  <c r="L11" i="4"/>
  <c r="K11" i="4"/>
  <c r="J11" i="4"/>
  <c r="I11" i="4"/>
  <c r="H11" i="4"/>
  <c r="B11" i="4"/>
  <c r="A11" i="4"/>
  <c r="M10" i="4"/>
  <c r="L10" i="4"/>
  <c r="K10" i="4"/>
  <c r="J10" i="4"/>
  <c r="I10" i="4"/>
  <c r="H10" i="4"/>
  <c r="B10" i="4"/>
  <c r="A10" i="4"/>
  <c r="M9" i="4"/>
  <c r="L9" i="4"/>
  <c r="K9" i="4"/>
  <c r="J9" i="4"/>
  <c r="I9" i="4"/>
  <c r="H9" i="4"/>
  <c r="B9" i="4"/>
  <c r="A9" i="4"/>
  <c r="M8" i="4"/>
  <c r="L8" i="4"/>
  <c r="K8" i="4"/>
  <c r="J8" i="4"/>
  <c r="I8" i="4"/>
  <c r="H8" i="4"/>
  <c r="B8" i="4"/>
  <c r="A8" i="4"/>
  <c r="M7" i="4"/>
  <c r="L7" i="4"/>
  <c r="K7" i="4"/>
  <c r="J7" i="4"/>
  <c r="I7" i="4"/>
  <c r="H7" i="4"/>
  <c r="B7" i="4"/>
  <c r="A7" i="4"/>
  <c r="M6" i="4"/>
  <c r="L6" i="4"/>
  <c r="K6" i="4"/>
  <c r="J6" i="4"/>
  <c r="I6" i="4"/>
  <c r="H6" i="4"/>
  <c r="B6" i="4"/>
  <c r="A6" i="4"/>
  <c r="M5" i="4"/>
  <c r="L5" i="4"/>
  <c r="K5" i="4"/>
  <c r="J5" i="4"/>
  <c r="I5" i="4"/>
  <c r="H5" i="4"/>
  <c r="B5" i="4"/>
  <c r="A5" i="4"/>
  <c r="M4" i="4"/>
  <c r="L4" i="4"/>
  <c r="K4" i="4"/>
  <c r="J4" i="4"/>
  <c r="I4" i="4"/>
  <c r="H4" i="4"/>
  <c r="B4" i="4"/>
  <c r="A4" i="4"/>
  <c r="M3" i="4"/>
  <c r="L3" i="4"/>
  <c r="K3" i="4"/>
  <c r="J3" i="4"/>
  <c r="I3" i="4"/>
  <c r="H3" i="4"/>
  <c r="B3" i="4"/>
  <c r="A3" i="4"/>
  <c r="M2" i="4"/>
  <c r="L2" i="4"/>
  <c r="K2" i="4"/>
  <c r="J2" i="4"/>
  <c r="I2" i="4"/>
  <c r="H2" i="4"/>
  <c r="B2" i="4"/>
  <c r="A2" i="4"/>
  <c r="G10" i="4"/>
  <c r="F9" i="4"/>
  <c r="E8" i="4"/>
  <c r="D7" i="4"/>
  <c r="C6" i="4"/>
  <c r="G12" i="4"/>
  <c r="F13" i="4"/>
  <c r="G15" i="4"/>
  <c r="F15" i="4"/>
  <c r="G2" i="4"/>
  <c r="E15" i="4"/>
  <c r="D15" i="4"/>
  <c r="G4" i="4"/>
  <c r="C15" i="4"/>
  <c r="E3" i="4"/>
  <c r="C16" i="4"/>
  <c r="G6" i="4"/>
  <c r="F5" i="4"/>
  <c r="E4" i="4"/>
  <c r="D3" i="4"/>
  <c r="C2" i="4"/>
  <c r="G7" i="4"/>
  <c r="F6" i="4"/>
  <c r="E5" i="4"/>
  <c r="D4" i="4"/>
  <c r="C3" i="4"/>
  <c r="G8" i="4"/>
  <c r="F7" i="4"/>
  <c r="E6" i="4"/>
  <c r="D5" i="4"/>
  <c r="C4" i="4"/>
  <c r="G9" i="4"/>
  <c r="F8" i="4"/>
  <c r="E7" i="4"/>
  <c r="D6" i="4"/>
  <c r="C5" i="4"/>
  <c r="G11" i="4"/>
  <c r="F10" i="4"/>
  <c r="E9" i="4"/>
  <c r="D8" i="4"/>
  <c r="C7" i="4"/>
  <c r="F11" i="4"/>
  <c r="E10" i="4"/>
  <c r="D9" i="4"/>
  <c r="C8" i="4"/>
  <c r="G13" i="4"/>
  <c r="F12" i="4"/>
  <c r="E11" i="4"/>
  <c r="D10" i="4"/>
  <c r="C9" i="4"/>
  <c r="G14" i="4"/>
  <c r="E12" i="4"/>
  <c r="D11" i="4"/>
  <c r="C10" i="4"/>
  <c r="F14" i="4"/>
  <c r="E13" i="4"/>
  <c r="D12" i="4"/>
  <c r="C11" i="4"/>
  <c r="G16" i="4"/>
  <c r="E14" i="4"/>
  <c r="D13" i="4"/>
  <c r="C12" i="4"/>
  <c r="F16" i="4"/>
  <c r="D14" i="4"/>
  <c r="C13" i="4"/>
  <c r="G3" i="4"/>
  <c r="F2" i="4"/>
  <c r="E16" i="4"/>
  <c r="C14" i="4"/>
  <c r="F3" i="4"/>
  <c r="E2" i="4"/>
  <c r="D16" i="4"/>
  <c r="G5" i="4"/>
  <c r="F4" i="4"/>
  <c r="D2" i="4"/>
</calcChain>
</file>

<file path=xl/sharedStrings.xml><?xml version="1.0" encoding="utf-8"?>
<sst xmlns="http://schemas.openxmlformats.org/spreadsheetml/2006/main" count="235" uniqueCount="121">
  <si>
    <t>place_id</t>
  </si>
  <si>
    <t>이름</t>
  </si>
  <si>
    <t>지역</t>
  </si>
  <si>
    <t>유형</t>
  </si>
  <si>
    <t>실내여부</t>
  </si>
  <si>
    <t>예산</t>
  </si>
  <si>
    <t>평점</t>
  </si>
  <si>
    <t>추천목적</t>
  </si>
  <si>
    <t>추천상황</t>
  </si>
  <si>
    <t>추천대상</t>
  </si>
  <si>
    <t>강릉 시립도서관</t>
  </si>
  <si>
    <t>강릉</t>
  </si>
  <si>
    <t>학습</t>
  </si>
  <si>
    <t>실내</t>
  </si>
  <si>
    <t>공부</t>
  </si>
  <si>
    <t>비오는날</t>
  </si>
  <si>
    <t>혼자</t>
  </si>
  <si>
    <t>강릉 중앙시장</t>
  </si>
  <si>
    <t>음식</t>
  </si>
  <si>
    <t>식사</t>
  </si>
  <si>
    <t>저렴한곳</t>
  </si>
  <si>
    <t>친구</t>
  </si>
  <si>
    <t>속초해변</t>
  </si>
  <si>
    <t>속초</t>
  </si>
  <si>
    <t>관광</t>
  </si>
  <si>
    <t>실외</t>
  </si>
  <si>
    <t>산책</t>
  </si>
  <si>
    <t>맑은날</t>
  </si>
  <si>
    <t>가족</t>
  </si>
  <si>
    <t>춘천 시립도서관</t>
  </si>
  <si>
    <t>춘천</t>
  </si>
  <si>
    <t>조용한곳</t>
  </si>
  <si>
    <t>감자밭</t>
  </si>
  <si>
    <t>카페</t>
  </si>
  <si>
    <t>실내외</t>
  </si>
  <si>
    <t>데이트</t>
  </si>
  <si>
    <t>여행</t>
  </si>
  <si>
    <t>추천ID</t>
  </si>
  <si>
    <t>추천활동</t>
  </si>
  <si>
    <t>소요시간</t>
  </si>
  <si>
    <t>예약필요</t>
  </si>
  <si>
    <t>R001</t>
  </si>
  <si>
    <t>조용한 자습</t>
  </si>
  <si>
    <t>2~3시간</t>
  </si>
  <si>
    <t>X</t>
  </si>
  <si>
    <t>R002</t>
  </si>
  <si>
    <t>독서</t>
  </si>
  <si>
    <t>관심 분야 책 읽기</t>
  </si>
  <si>
    <t>1~2시간</t>
  </si>
  <si>
    <t>R003</t>
  </si>
  <si>
    <t>팀플</t>
  </si>
  <si>
    <t>시험기간</t>
  </si>
  <si>
    <t>자료 조사 및 발표 준비</t>
  </si>
  <si>
    <t>2시간</t>
  </si>
  <si>
    <t>R004</t>
  </si>
  <si>
    <t>시장 음식 먹기</t>
  </si>
  <si>
    <t>1시간</t>
  </si>
  <si>
    <t>R005</t>
  </si>
  <si>
    <t>간식</t>
  </si>
  <si>
    <t>분식·간식 먹기</t>
  </si>
  <si>
    <t>30분</t>
  </si>
  <si>
    <t>R006</t>
  </si>
  <si>
    <t>지역 먹거리 체험</t>
  </si>
  <si>
    <t>R007</t>
  </si>
  <si>
    <t>해변 산책</t>
  </si>
  <si>
    <t>R008</t>
  </si>
  <si>
    <t>사진촬영</t>
  </si>
  <si>
    <t>노을</t>
  </si>
  <si>
    <t>바다 사진 찍기</t>
  </si>
  <si>
    <t>R009</t>
  </si>
  <si>
    <t>휴식</t>
  </si>
  <si>
    <t>바다 보며 쉬기</t>
  </si>
  <si>
    <t>R010</t>
  </si>
  <si>
    <t>자습 및 과제</t>
  </si>
  <si>
    <t>R011</t>
  </si>
  <si>
    <t>가족 독서 시간</t>
  </si>
  <si>
    <t>R012</t>
  </si>
  <si>
    <t>진로</t>
  </si>
  <si>
    <t>진로 자료 탐색</t>
  </si>
  <si>
    <t>R013</t>
  </si>
  <si>
    <t>카페 방문</t>
  </si>
  <si>
    <t>R014</t>
  </si>
  <si>
    <t>카페 사진 찍기</t>
  </si>
  <si>
    <t>R015</t>
  </si>
  <si>
    <t>감자빵 먹기</t>
  </si>
  <si>
    <t>강원생활도우미앱 3.0 실습 안내</t>
  </si>
  <si>
    <t>핵심 변화</t>
  </si>
  <si>
    <t>기존에는 장소 1개가 추천조건 1개만 가진 것처럼 보였습니다. 이제 장소정보와 추천정보를 분리하여 장소 1개에 여러 추천활동이 연결되도록 확장했습니다.</t>
  </si>
  <si>
    <t>왜 두 시트가 필요한가?</t>
  </si>
  <si>
    <t>강릉 시립도서관처럼 하나의 장소가 공부, 독서, 팀플 등 여러 활동과 연결될 수 있기 때문입니다. 한 시트에 모두 넣으면 장소명, 지역, 실내여부, 평점이 반복됩니다.</t>
  </si>
  <si>
    <t>공통 열</t>
  </si>
  <si>
    <t>관계</t>
  </si>
  <si>
    <t>장소정보 1개 행 : 추천정보 여러 행 = 1:N 관계</t>
  </si>
  <si>
    <t>Streamlit 실습 흐름</t>
  </si>
  <si>
    <t>① 장소정보 시트 읽기 → ② 추천정보 시트 읽기 → ③ place_id 기준 조인 → ④ 지역·추천목적·추천상황·추천대상·예산으로 검색</t>
  </si>
  <si>
    <t>시트 설명</t>
  </si>
  <si>
    <t>기존데이터</t>
  </si>
  <si>
    <t>업로드한 원본 구조를 보존한 시트입니다.</t>
  </si>
  <si>
    <t>장소정보</t>
  </si>
  <si>
    <t>장소의 고정 정보만 모은 시트입니다. 예: 이름, 지역, 유형, 실내여부, 평점</t>
  </si>
  <si>
    <t>추천정보</t>
  </si>
  <si>
    <t>장소별로 여러 개 만들 수 있는 추천 활동 정보입니다. 예: 추천목적, 추천상황, 추천대상, 예산, 추천활동</t>
  </si>
  <si>
    <t>조인결과예시</t>
  </si>
  <si>
    <t>추천정보를 기준으로 장소정보를 붙인 결과 예시입니다. Streamlit에서는 pandas merge로 이 결과를 만듭니다.</t>
  </si>
  <si>
    <t>요약 지표</t>
  </si>
  <si>
    <t>값</t>
  </si>
  <si>
    <t>장소 수</t>
  </si>
  <si>
    <t>추천활동 수</t>
  </si>
  <si>
    <t>평균 예산</t>
  </si>
  <si>
    <t>무료 활동 수</t>
  </si>
  <si>
    <t>수업 핵심 질문</t>
  </si>
  <si>
    <t>1</t>
  </si>
  <si>
    <t>왜 장소정보와 추천정보를 한 시트에 모두 넣지 않았을까요?</t>
  </si>
  <si>
    <t>2</t>
  </si>
  <si>
    <t>place_id가 두 시트를 연결할 때 어떤 역할을 할까요?</t>
  </si>
  <si>
    <t>3</t>
  </si>
  <si>
    <t>조인 후에는 어떤 검색 조건을 추가할 수 있을까요?</t>
  </si>
  <si>
    <t>4</t>
  </si>
  <si>
    <t>같은 장소의 전화번호나 평점이 바뀐다면 어느 시트만 수정하면 될까요?</t>
  </si>
  <si>
    <t>5</t>
  </si>
  <si>
    <t>이 구조가 데이터베이스의 기본키·외래키 개념과 어떻게 연결될까요?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</si>
</sst>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&quot;원&quot;"/>
  </numFmts>
  <fonts count="6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2" borderId="0" xfId="1" applyNumberFormat="1" applyFont="1" applyFill="1" applyBorder="1" applyAlignment="1">
      <alignment wrapText="1"/>
    </xf>
    <xf numFmtId="0" fontId="1" fillId="2" borderId="0" xfId="1" applyNumberFormat="1" applyFont="1" applyFill="1" applyBorder="1" applyAlignment="1">
      <alignment horizontal="center" wrapText="1"/>
    </xf>
    <xf numFmtId="0" fontId="1" fillId="2" borderId="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wrapText="1"/>
    </xf>
    <xf numFmtId="176" fontId="0" fillId="0" borderId="0" xfId="1" applyNumberFormat="1" applyFont="1" applyFill="1" applyBorder="1" applyAlignment="1">
      <alignment wrapText="1"/>
    </xf>
    <xf numFmtId="176" fontId="0" fillId="0" borderId="0" xfId="1" applyNumberFormat="1" applyFont="1" applyFill="1" applyBorder="1"/>
    <xf numFmtId="0" fontId="3" fillId="3" borderId="0" xfId="1" applyNumberFormat="1" applyFont="1" applyFill="1" applyBorder="1"/>
    <xf numFmtId="0" fontId="3" fillId="3" borderId="0" xfId="1" applyNumberFormat="1" applyFont="1" applyFill="1" applyBorder="1" applyAlignment="1">
      <alignment wrapText="1"/>
    </xf>
    <xf numFmtId="0" fontId="3" fillId="3" borderId="0" xfId="1" applyNumberFormat="1" applyFont="1" applyFill="1" applyBorder="1" applyAlignment="1">
      <alignment vertical="center" wrapText="1"/>
    </xf>
    <xf numFmtId="0" fontId="1" fillId="2" borderId="0" xfId="1" applyNumberFormat="1" applyFont="1" applyFill="1" applyBorder="1" applyAlignment="1">
      <alignment horizontal="center"/>
    </xf>
    <xf numFmtId="0" fontId="3" fillId="3" borderId="0" xfId="1" applyNumberFormat="1" applyFont="1" applyFill="1" applyBorder="1" applyAlignment="1">
      <alignment horizontal="center" wrapText="1"/>
    </xf>
    <xf numFmtId="0" fontId="2" fillId="2" borderId="0" xfId="1" applyNumberFormat="1" applyFont="1" applyFill="1" applyBorder="1" applyAlignment="1">
      <alignment horizontal="center" wrapText="1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OriginalDataTable" displayName="OriginalDataTable" ref="A1:J6">
  <tableColumns count="10">
    <tableColumn id="1" name="place_id"/>
    <tableColumn id="2" name="이름"/>
    <tableColumn id="3" name="지역"/>
    <tableColumn id="4" name="유형"/>
    <tableColumn id="5" name="실내여부"/>
    <tableColumn id="6" name="예산"/>
    <tableColumn id="7" name="평점"/>
    <tableColumn id="8" name="추천목적"/>
    <tableColumn id="9" name="추천상황"/>
    <tableColumn id="10" name="추천대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lacesTable" displayName="PlacesTable" ref="A1:F6">
  <tableColumns count="6">
    <tableColumn id="1" name="place_id"/>
    <tableColumn id="2" name="이름"/>
    <tableColumn id="3" name="지역"/>
    <tableColumn id="4" name="유형"/>
    <tableColumn id="5" name="실내여부"/>
    <tableColumn id="6" name="평점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commendationsTable" displayName="RecommendationsTable" ref="A1:I16">
  <tableColumns count="9">
    <tableColumn id="1" name="추천ID"/>
    <tableColumn id="2" name="place_id"/>
    <tableColumn id="3" name="추천목적"/>
    <tableColumn id="4" name="추천상황"/>
    <tableColumn id="5" name="추천대상"/>
    <tableColumn id="6" name="예산"/>
    <tableColumn id="7" name="추천활동"/>
    <tableColumn id="8" name="소요시간"/>
    <tableColumn id="9" name="예약필요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JoinedExampleTable" displayName="JoinedExampleTable" ref="A1:M16">
  <tableColumns count="13">
    <tableColumn id="1" name="추천ID"/>
    <tableColumn id="2" name="place_id"/>
    <tableColumn id="3" name="이름"/>
    <tableColumn id="4" name="지역"/>
    <tableColumn id="5" name="유형"/>
    <tableColumn id="6" name="실내여부"/>
    <tableColumn id="7" name="평점"/>
    <tableColumn id="8" name="추천목적"/>
    <tableColumn id="9" name="추천상황"/>
    <tableColumn id="10" name="추천대상"/>
    <tableColumn id="11" name="예산"/>
    <tableColumn id="12" name="추천활동"/>
    <tableColumn id="13" name="예약필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sqref="A1:XFD1048576"/>
    </sheetView>
  </sheetViews>
  <sheetFormatPr defaultColWidth="13.08203125" defaultRowHeight="14"/>
  <cols>
    <col min="1" max="1" width="8.1640625" bestFit="1" customWidth="1"/>
    <col min="2" max="2" width="12.9140625" bestFit="1" customWidth="1"/>
    <col min="3" max="4" width="4.83203125" bestFit="1" customWidth="1"/>
    <col min="5" max="6" width="8.5" bestFit="1" customWidth="1"/>
    <col min="7" max="7" width="4.83203125" bestFit="1" customWidth="1"/>
    <col min="8" max="10" width="8.5" bestFit="1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8">
      <c r="A2" s="4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5">
        <v>0</v>
      </c>
      <c r="G2" s="4">
        <v>4.3</v>
      </c>
      <c r="H2" s="4" t="s">
        <v>14</v>
      </c>
      <c r="I2" s="4" t="s">
        <v>15</v>
      </c>
      <c r="J2" s="4" t="s">
        <v>16</v>
      </c>
    </row>
    <row r="3" spans="1:10">
      <c r="A3" s="4">
        <v>2</v>
      </c>
      <c r="B3" s="4" t="s">
        <v>17</v>
      </c>
      <c r="C3" s="4" t="s">
        <v>11</v>
      </c>
      <c r="D3" s="4" t="s">
        <v>18</v>
      </c>
      <c r="E3" s="4" t="s">
        <v>13</v>
      </c>
      <c r="F3" s="5">
        <v>10000</v>
      </c>
      <c r="G3" s="4">
        <v>4.2</v>
      </c>
      <c r="H3" s="4" t="s">
        <v>19</v>
      </c>
      <c r="I3" s="4" t="s">
        <v>20</v>
      </c>
      <c r="J3" s="4" t="s">
        <v>21</v>
      </c>
    </row>
    <row r="4" spans="1:10">
      <c r="A4" s="4">
        <v>3</v>
      </c>
      <c r="B4" s="4" t="s">
        <v>22</v>
      </c>
      <c r="C4" s="4" t="s">
        <v>23</v>
      </c>
      <c r="D4" s="4" t="s">
        <v>24</v>
      </c>
      <c r="E4" s="4" t="s">
        <v>25</v>
      </c>
      <c r="F4" s="5">
        <v>0</v>
      </c>
      <c r="G4" s="4">
        <v>4.5999999999999996</v>
      </c>
      <c r="H4" s="4" t="s">
        <v>26</v>
      </c>
      <c r="I4" s="4" t="s">
        <v>27</v>
      </c>
      <c r="J4" s="4" t="s">
        <v>28</v>
      </c>
    </row>
    <row r="5" spans="1:10" ht="28">
      <c r="A5" s="4">
        <v>4</v>
      </c>
      <c r="B5" s="4" t="s">
        <v>29</v>
      </c>
      <c r="C5" s="4" t="s">
        <v>30</v>
      </c>
      <c r="D5" s="4" t="s">
        <v>12</v>
      </c>
      <c r="E5" s="4" t="s">
        <v>13</v>
      </c>
      <c r="F5" s="5">
        <v>0</v>
      </c>
      <c r="G5" s="4">
        <v>4.0999999999999996</v>
      </c>
      <c r="H5" s="4" t="s">
        <v>14</v>
      </c>
      <c r="I5" s="4" t="s">
        <v>31</v>
      </c>
      <c r="J5" s="4" t="s">
        <v>16</v>
      </c>
    </row>
    <row r="6" spans="1:10">
      <c r="A6" s="4">
        <v>5</v>
      </c>
      <c r="B6" s="4" t="s">
        <v>32</v>
      </c>
      <c r="C6" s="4" t="s">
        <v>30</v>
      </c>
      <c r="D6" s="4" t="s">
        <v>33</v>
      </c>
      <c r="E6" s="4" t="s">
        <v>34</v>
      </c>
      <c r="F6" s="5">
        <v>15000</v>
      </c>
      <c r="G6" s="4">
        <v>4.5</v>
      </c>
      <c r="H6" s="4" t="s">
        <v>35</v>
      </c>
      <c r="I6" s="4" t="s">
        <v>36</v>
      </c>
      <c r="J6" s="4" t="s">
        <v>21</v>
      </c>
    </row>
    <row r="7" spans="1:10">
      <c r="F7" s="6"/>
    </row>
    <row r="8" spans="1:10">
      <c r="F8" s="6"/>
    </row>
    <row r="9" spans="1:10">
      <c r="F9" s="6"/>
    </row>
    <row r="10" spans="1:10">
      <c r="F10" s="6"/>
    </row>
    <row r="11" spans="1:10">
      <c r="F11" s="6"/>
    </row>
    <row r="12" spans="1:10">
      <c r="F12" s="6"/>
    </row>
    <row r="13" spans="1:10">
      <c r="F13" s="6"/>
    </row>
    <row r="14" spans="1:10">
      <c r="F14" s="6"/>
    </row>
    <row r="15" spans="1:10">
      <c r="F15" s="6"/>
    </row>
    <row r="16" spans="1:10">
      <c r="F16" s="6"/>
    </row>
    <row r="17" spans="6:6">
      <c r="F17" s="6"/>
    </row>
    <row r="18" spans="6:6">
      <c r="F18" s="6"/>
    </row>
    <row r="19" spans="6:6">
      <c r="F19" s="6"/>
    </row>
    <row r="20" spans="6:6">
      <c r="F20" s="6"/>
    </row>
    <row r="21" spans="6:6">
      <c r="F21" s="6"/>
    </row>
    <row r="22" spans="6:6">
      <c r="F22" s="6"/>
    </row>
    <row r="23" spans="6:6">
      <c r="F23" s="6"/>
    </row>
    <row r="24" spans="6:6">
      <c r="F24" s="6"/>
    </row>
    <row r="25" spans="6:6">
      <c r="F25" s="6"/>
    </row>
    <row r="26" spans="6:6">
      <c r="F26" s="6"/>
    </row>
    <row r="27" spans="6:6">
      <c r="F27" s="6"/>
    </row>
    <row r="28" spans="6:6">
      <c r="F28" s="6"/>
    </row>
    <row r="29" spans="6:6">
      <c r="F29" s="6"/>
    </row>
    <row r="30" spans="6:6">
      <c r="F30" s="6"/>
    </row>
    <row r="31" spans="6:6">
      <c r="F31" s="6"/>
    </row>
    <row r="32" spans="6:6">
      <c r="F32" s="6"/>
    </row>
    <row r="33" spans="6:6">
      <c r="F33" s="6"/>
    </row>
    <row r="34" spans="6:6">
      <c r="F34" s="6"/>
    </row>
    <row r="35" spans="6:6">
      <c r="F35" s="6"/>
    </row>
    <row r="36" spans="6:6">
      <c r="F36" s="6"/>
    </row>
    <row r="37" spans="6:6">
      <c r="F37" s="6"/>
    </row>
    <row r="38" spans="6:6">
      <c r="F38" s="6"/>
    </row>
    <row r="39" spans="6:6">
      <c r="F39" s="6"/>
    </row>
    <row r="40" spans="6:6">
      <c r="F40" s="6"/>
    </row>
    <row r="41" spans="6:6">
      <c r="F41" s="6"/>
    </row>
    <row r="42" spans="6:6">
      <c r="F42" s="6"/>
    </row>
    <row r="43" spans="6:6">
      <c r="F43" s="6"/>
    </row>
    <row r="44" spans="6:6">
      <c r="F44" s="6"/>
    </row>
    <row r="45" spans="6:6">
      <c r="F45" s="6"/>
    </row>
    <row r="46" spans="6:6">
      <c r="F46" s="6"/>
    </row>
    <row r="47" spans="6:6">
      <c r="F47" s="6"/>
    </row>
    <row r="48" spans="6:6">
      <c r="F48" s="6"/>
    </row>
    <row r="49" spans="6:6">
      <c r="F49" s="6"/>
    </row>
    <row r="50" spans="6:6">
      <c r="F50" s="6"/>
    </row>
    <row r="51" spans="6:6">
      <c r="F51" s="6"/>
    </row>
    <row r="52" spans="6:6">
      <c r="F52" s="6"/>
    </row>
    <row r="53" spans="6:6">
      <c r="F53" s="6"/>
    </row>
    <row r="54" spans="6:6">
      <c r="F54" s="6"/>
    </row>
    <row r="55" spans="6:6">
      <c r="F55" s="6"/>
    </row>
    <row r="56" spans="6:6">
      <c r="F56" s="6"/>
    </row>
    <row r="57" spans="6:6">
      <c r="F57" s="6"/>
    </row>
    <row r="58" spans="6:6">
      <c r="F58" s="6"/>
    </row>
    <row r="59" spans="6:6">
      <c r="F59" s="6"/>
    </row>
    <row r="60" spans="6:6">
      <c r="F60" s="6"/>
    </row>
    <row r="61" spans="6:6">
      <c r="F61" s="6"/>
    </row>
    <row r="62" spans="6:6">
      <c r="F62" s="6"/>
    </row>
    <row r="63" spans="6:6">
      <c r="F63" s="6"/>
    </row>
    <row r="64" spans="6:6">
      <c r="F64" s="6"/>
    </row>
    <row r="65" spans="6:6">
      <c r="F65" s="6"/>
    </row>
    <row r="66" spans="6:6">
      <c r="F66" s="6"/>
    </row>
    <row r="67" spans="6:6">
      <c r="F67" s="6"/>
    </row>
    <row r="68" spans="6:6">
      <c r="F68" s="6"/>
    </row>
    <row r="69" spans="6:6">
      <c r="F69" s="6"/>
    </row>
    <row r="70" spans="6:6">
      <c r="F70" s="6"/>
    </row>
    <row r="71" spans="6:6">
      <c r="F71" s="6"/>
    </row>
    <row r="72" spans="6:6">
      <c r="F72" s="6"/>
    </row>
    <row r="73" spans="6:6">
      <c r="F73" s="6"/>
    </row>
    <row r="74" spans="6:6">
      <c r="F74" s="6"/>
    </row>
    <row r="75" spans="6:6">
      <c r="F75" s="6"/>
    </row>
    <row r="76" spans="6:6">
      <c r="F76" s="6"/>
    </row>
    <row r="77" spans="6:6">
      <c r="F77" s="6"/>
    </row>
    <row r="78" spans="6:6">
      <c r="F78" s="6"/>
    </row>
    <row r="79" spans="6:6">
      <c r="F79" s="6"/>
    </row>
    <row r="80" spans="6:6">
      <c r="F80" s="6"/>
    </row>
    <row r="81" spans="6:6">
      <c r="F81" s="6"/>
    </row>
    <row r="82" spans="6:6">
      <c r="F82" s="6"/>
    </row>
    <row r="83" spans="6:6">
      <c r="F83" s="6"/>
    </row>
    <row r="84" spans="6:6">
      <c r="F84" s="6"/>
    </row>
    <row r="85" spans="6:6">
      <c r="F85" s="6"/>
    </row>
    <row r="86" spans="6:6">
      <c r="F86" s="6"/>
    </row>
    <row r="87" spans="6:6">
      <c r="F87" s="6"/>
    </row>
    <row r="88" spans="6:6">
      <c r="F88" s="6"/>
    </row>
    <row r="89" spans="6:6">
      <c r="F89" s="6"/>
    </row>
    <row r="90" spans="6:6">
      <c r="F90" s="6"/>
    </row>
    <row r="91" spans="6:6">
      <c r="F91" s="6"/>
    </row>
    <row r="92" spans="6:6">
      <c r="F92" s="6"/>
    </row>
    <row r="93" spans="6:6">
      <c r="F93" s="6"/>
    </row>
    <row r="94" spans="6:6">
      <c r="F94" s="6"/>
    </row>
    <row r="95" spans="6:6">
      <c r="F95" s="6"/>
    </row>
    <row r="96" spans="6:6">
      <c r="F96" s="6"/>
    </row>
    <row r="97" spans="6:6">
      <c r="F97" s="6"/>
    </row>
    <row r="98" spans="6:6">
      <c r="F98" s="6"/>
    </row>
    <row r="99" spans="6:6">
      <c r="F99" s="6"/>
    </row>
    <row r="100" spans="6:6">
      <c r="F100" s="6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A11" sqref="A11"/>
    </sheetView>
  </sheetViews>
  <sheetFormatPr defaultRowHeight="14"/>
  <cols>
    <col min="1" max="1" width="8.1640625" bestFit="1" customWidth="1"/>
    <col min="2" max="2" width="20" customWidth="1"/>
    <col min="3" max="4" width="4.83203125" bestFit="1" customWidth="1"/>
    <col min="5" max="5" width="8.5" bestFit="1" customWidth="1"/>
    <col min="6" max="6" width="4.83203125" bestFit="1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</row>
    <row r="2" spans="1:6">
      <c r="A2" s="4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4">
        <v>4.3</v>
      </c>
    </row>
    <row r="3" spans="1:6">
      <c r="A3" s="4">
        <v>2</v>
      </c>
      <c r="B3" s="4" t="s">
        <v>17</v>
      </c>
      <c r="C3" s="4" t="s">
        <v>11</v>
      </c>
      <c r="D3" s="4" t="s">
        <v>18</v>
      </c>
      <c r="E3" s="4" t="s">
        <v>13</v>
      </c>
      <c r="F3" s="4">
        <v>4.2</v>
      </c>
    </row>
    <row r="4" spans="1:6">
      <c r="A4" s="4">
        <v>3</v>
      </c>
      <c r="B4" s="4" t="s">
        <v>22</v>
      </c>
      <c r="C4" s="4" t="s">
        <v>23</v>
      </c>
      <c r="D4" s="4" t="s">
        <v>24</v>
      </c>
      <c r="E4" s="4" t="s">
        <v>25</v>
      </c>
      <c r="F4" s="4">
        <v>4.5999999999999996</v>
      </c>
    </row>
    <row r="5" spans="1:6">
      <c r="A5" s="4">
        <v>4</v>
      </c>
      <c r="B5" s="4" t="s">
        <v>29</v>
      </c>
      <c r="C5" s="4" t="s">
        <v>30</v>
      </c>
      <c r="D5" s="4" t="s">
        <v>12</v>
      </c>
      <c r="E5" s="4" t="s">
        <v>13</v>
      </c>
      <c r="F5" s="4">
        <v>4.0999999999999996</v>
      </c>
    </row>
    <row r="6" spans="1:6">
      <c r="A6" s="4">
        <v>5</v>
      </c>
      <c r="B6" s="4" t="s">
        <v>32</v>
      </c>
      <c r="C6" s="4" t="s">
        <v>30</v>
      </c>
      <c r="D6" s="4" t="s">
        <v>33</v>
      </c>
      <c r="E6" s="4" t="s">
        <v>34</v>
      </c>
      <c r="F6" s="4">
        <v>4.5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"/>
  <sheetViews>
    <sheetView workbookViewId="0">
      <selection activeCell="C19" sqref="C19"/>
    </sheetView>
  </sheetViews>
  <sheetFormatPr defaultRowHeight="14"/>
  <cols>
    <col min="1" max="1" width="6.58203125" bestFit="1" customWidth="1"/>
    <col min="2" max="2" width="8.1640625" bestFit="1" customWidth="1"/>
    <col min="3" max="6" width="8.5" bestFit="1" customWidth="1"/>
    <col min="7" max="7" width="30.4140625" customWidth="1"/>
    <col min="8" max="9" width="8.5" bestFit="1" customWidth="1"/>
  </cols>
  <sheetData>
    <row r="1" spans="1:9">
      <c r="A1" s="3" t="s">
        <v>37</v>
      </c>
      <c r="B1" s="3" t="s">
        <v>0</v>
      </c>
      <c r="C1" s="3" t="s">
        <v>7</v>
      </c>
      <c r="D1" s="3" t="s">
        <v>8</v>
      </c>
      <c r="E1" s="3" t="s">
        <v>9</v>
      </c>
      <c r="F1" s="3" t="s">
        <v>5</v>
      </c>
      <c r="G1" s="3" t="s">
        <v>38</v>
      </c>
      <c r="H1" s="3" t="s">
        <v>39</v>
      </c>
      <c r="I1" s="3" t="s">
        <v>40</v>
      </c>
    </row>
    <row r="2" spans="1:9">
      <c r="A2" s="4" t="s">
        <v>41</v>
      </c>
      <c r="B2" s="4">
        <v>1</v>
      </c>
      <c r="C2" s="4" t="s">
        <v>14</v>
      </c>
      <c r="D2" s="4" t="s">
        <v>15</v>
      </c>
      <c r="E2" s="4" t="s">
        <v>16</v>
      </c>
      <c r="F2" s="5">
        <v>0</v>
      </c>
      <c r="G2" s="4" t="s">
        <v>42</v>
      </c>
      <c r="H2" s="4" t="s">
        <v>43</v>
      </c>
      <c r="I2" s="4" t="s">
        <v>44</v>
      </c>
    </row>
    <row r="3" spans="1:9">
      <c r="A3" s="4" t="s">
        <v>45</v>
      </c>
      <c r="B3" s="4">
        <v>1</v>
      </c>
      <c r="C3" s="4" t="s">
        <v>46</v>
      </c>
      <c r="D3" s="4" t="s">
        <v>31</v>
      </c>
      <c r="E3" s="4" t="s">
        <v>16</v>
      </c>
      <c r="F3" s="5">
        <v>0</v>
      </c>
      <c r="G3" s="4" t="s">
        <v>47</v>
      </c>
      <c r="H3" s="4" t="s">
        <v>48</v>
      </c>
      <c r="I3" s="4" t="s">
        <v>44</v>
      </c>
    </row>
    <row r="4" spans="1:9">
      <c r="A4" s="4" t="s">
        <v>49</v>
      </c>
      <c r="B4" s="4">
        <v>1</v>
      </c>
      <c r="C4" s="4" t="s">
        <v>50</v>
      </c>
      <c r="D4" s="4" t="s">
        <v>51</v>
      </c>
      <c r="E4" s="4" t="s">
        <v>21</v>
      </c>
      <c r="F4" s="5">
        <v>0</v>
      </c>
      <c r="G4" s="4" t="s">
        <v>52</v>
      </c>
      <c r="H4" s="4" t="s">
        <v>53</v>
      </c>
      <c r="I4" s="4" t="s">
        <v>44</v>
      </c>
    </row>
    <row r="5" spans="1:9">
      <c r="A5" s="4" t="s">
        <v>54</v>
      </c>
      <c r="B5" s="4">
        <v>2</v>
      </c>
      <c r="C5" s="4" t="s">
        <v>19</v>
      </c>
      <c r="D5" s="4" t="s">
        <v>20</v>
      </c>
      <c r="E5" s="4" t="s">
        <v>21</v>
      </c>
      <c r="F5" s="5">
        <v>10000</v>
      </c>
      <c r="G5" s="4" t="s">
        <v>55</v>
      </c>
      <c r="H5" s="4" t="s">
        <v>56</v>
      </c>
      <c r="I5" s="4" t="s">
        <v>44</v>
      </c>
    </row>
    <row r="6" spans="1:9">
      <c r="A6" s="4" t="s">
        <v>57</v>
      </c>
      <c r="B6" s="4">
        <v>2</v>
      </c>
      <c r="C6" s="4" t="s">
        <v>58</v>
      </c>
      <c r="D6" s="4" t="s">
        <v>15</v>
      </c>
      <c r="E6" s="4" t="s">
        <v>21</v>
      </c>
      <c r="F6" s="5">
        <v>5000</v>
      </c>
      <c r="G6" s="4" t="s">
        <v>59</v>
      </c>
      <c r="H6" s="4" t="s">
        <v>60</v>
      </c>
      <c r="I6" s="4" t="s">
        <v>44</v>
      </c>
    </row>
    <row r="7" spans="1:9">
      <c r="A7" s="4" t="s">
        <v>61</v>
      </c>
      <c r="B7" s="4">
        <v>2</v>
      </c>
      <c r="C7" s="4" t="s">
        <v>24</v>
      </c>
      <c r="D7" s="4" t="s">
        <v>36</v>
      </c>
      <c r="E7" s="4" t="s">
        <v>28</v>
      </c>
      <c r="F7" s="5">
        <v>12000</v>
      </c>
      <c r="G7" s="4" t="s">
        <v>62</v>
      </c>
      <c r="H7" s="4" t="s">
        <v>48</v>
      </c>
      <c r="I7" s="4" t="s">
        <v>44</v>
      </c>
    </row>
    <row r="8" spans="1:9">
      <c r="A8" s="4" t="s">
        <v>63</v>
      </c>
      <c r="B8" s="4">
        <v>3</v>
      </c>
      <c r="C8" s="4" t="s">
        <v>26</v>
      </c>
      <c r="D8" s="4" t="s">
        <v>27</v>
      </c>
      <c r="E8" s="4" t="s">
        <v>28</v>
      </c>
      <c r="F8" s="5">
        <v>0</v>
      </c>
      <c r="G8" s="4" t="s">
        <v>64</v>
      </c>
      <c r="H8" s="4" t="s">
        <v>56</v>
      </c>
      <c r="I8" s="4" t="s">
        <v>44</v>
      </c>
    </row>
    <row r="9" spans="1:9">
      <c r="A9" s="4" t="s">
        <v>65</v>
      </c>
      <c r="B9" s="4">
        <v>3</v>
      </c>
      <c r="C9" s="4" t="s">
        <v>66</v>
      </c>
      <c r="D9" s="4" t="s">
        <v>67</v>
      </c>
      <c r="E9" s="4" t="s">
        <v>21</v>
      </c>
      <c r="F9" s="5">
        <v>0</v>
      </c>
      <c r="G9" s="4" t="s">
        <v>68</v>
      </c>
      <c r="H9" s="4" t="s">
        <v>56</v>
      </c>
      <c r="I9" s="4" t="s">
        <v>44</v>
      </c>
    </row>
    <row r="10" spans="1:9">
      <c r="A10" s="4" t="s">
        <v>69</v>
      </c>
      <c r="B10" s="4">
        <v>3</v>
      </c>
      <c r="C10" s="4" t="s">
        <v>70</v>
      </c>
      <c r="D10" s="4" t="s">
        <v>36</v>
      </c>
      <c r="E10" s="4" t="s">
        <v>16</v>
      </c>
      <c r="F10" s="5">
        <v>0</v>
      </c>
      <c r="G10" s="4" t="s">
        <v>71</v>
      </c>
      <c r="H10" s="4" t="s">
        <v>48</v>
      </c>
      <c r="I10" s="4" t="s">
        <v>44</v>
      </c>
    </row>
    <row r="11" spans="1:9">
      <c r="A11" s="4" t="s">
        <v>72</v>
      </c>
      <c r="B11" s="4">
        <v>4</v>
      </c>
      <c r="C11" s="4" t="s">
        <v>14</v>
      </c>
      <c r="D11" s="4" t="s">
        <v>31</v>
      </c>
      <c r="E11" s="4" t="s">
        <v>16</v>
      </c>
      <c r="F11" s="5">
        <v>0</v>
      </c>
      <c r="G11" s="4" t="s">
        <v>73</v>
      </c>
      <c r="H11" s="4" t="s">
        <v>43</v>
      </c>
      <c r="I11" s="4" t="s">
        <v>44</v>
      </c>
    </row>
    <row r="12" spans="1:9">
      <c r="A12" s="4" t="s">
        <v>74</v>
      </c>
      <c r="B12" s="4">
        <v>4</v>
      </c>
      <c r="C12" s="4" t="s">
        <v>46</v>
      </c>
      <c r="D12" s="4" t="s">
        <v>15</v>
      </c>
      <c r="E12" s="4" t="s">
        <v>28</v>
      </c>
      <c r="F12" s="5">
        <v>0</v>
      </c>
      <c r="G12" s="4" t="s">
        <v>75</v>
      </c>
      <c r="H12" s="4" t="s">
        <v>56</v>
      </c>
      <c r="I12" s="4" t="s">
        <v>44</v>
      </c>
    </row>
    <row r="13" spans="1:9">
      <c r="A13" s="4" t="s">
        <v>76</v>
      </c>
      <c r="B13" s="4">
        <v>4</v>
      </c>
      <c r="C13" s="4" t="s">
        <v>77</v>
      </c>
      <c r="D13" s="4" t="s">
        <v>51</v>
      </c>
      <c r="E13" s="4" t="s">
        <v>21</v>
      </c>
      <c r="F13" s="5">
        <v>0</v>
      </c>
      <c r="G13" s="4" t="s">
        <v>78</v>
      </c>
      <c r="H13" s="4" t="s">
        <v>48</v>
      </c>
      <c r="I13" s="4" t="s">
        <v>44</v>
      </c>
    </row>
    <row r="14" spans="1:9">
      <c r="A14" s="4" t="s">
        <v>79</v>
      </c>
      <c r="B14" s="4">
        <v>5</v>
      </c>
      <c r="C14" s="4" t="s">
        <v>35</v>
      </c>
      <c r="D14" s="4" t="s">
        <v>36</v>
      </c>
      <c r="E14" s="4" t="s">
        <v>21</v>
      </c>
      <c r="F14" s="5">
        <v>15000</v>
      </c>
      <c r="G14" s="4" t="s">
        <v>80</v>
      </c>
      <c r="H14" s="4" t="s">
        <v>48</v>
      </c>
      <c r="I14" s="4" t="s">
        <v>44</v>
      </c>
    </row>
    <row r="15" spans="1:9">
      <c r="A15" s="4" t="s">
        <v>81</v>
      </c>
      <c r="B15" s="4">
        <v>5</v>
      </c>
      <c r="C15" s="4" t="s">
        <v>66</v>
      </c>
      <c r="D15" s="4" t="s">
        <v>27</v>
      </c>
      <c r="E15" s="4" t="s">
        <v>21</v>
      </c>
      <c r="F15" s="5">
        <v>15000</v>
      </c>
      <c r="G15" s="4" t="s">
        <v>82</v>
      </c>
      <c r="H15" s="4" t="s">
        <v>56</v>
      </c>
      <c r="I15" s="4" t="s">
        <v>44</v>
      </c>
    </row>
    <row r="16" spans="1:9">
      <c r="A16" s="4" t="s">
        <v>83</v>
      </c>
      <c r="B16" s="4">
        <v>5</v>
      </c>
      <c r="C16" s="4" t="s">
        <v>58</v>
      </c>
      <c r="D16" s="4" t="s">
        <v>36</v>
      </c>
      <c r="E16" s="4" t="s">
        <v>28</v>
      </c>
      <c r="F16" s="5">
        <v>20000</v>
      </c>
      <c r="G16" s="4" t="s">
        <v>84</v>
      </c>
      <c r="H16" s="4" t="s">
        <v>56</v>
      </c>
      <c r="I16" s="4" t="s">
        <v>44</v>
      </c>
    </row>
    <row r="17" spans="6:6">
      <c r="F17" s="6"/>
    </row>
    <row r="18" spans="6:6">
      <c r="F18" s="6"/>
    </row>
    <row r="19" spans="6:6">
      <c r="F19" s="6"/>
    </row>
    <row r="20" spans="6:6">
      <c r="F20" s="6"/>
    </row>
    <row r="21" spans="6:6">
      <c r="F21" s="6"/>
    </row>
    <row r="22" spans="6:6">
      <c r="F22" s="6"/>
    </row>
    <row r="23" spans="6:6">
      <c r="F23" s="6"/>
    </row>
    <row r="24" spans="6:6">
      <c r="F24" s="6"/>
    </row>
    <row r="25" spans="6:6">
      <c r="F25" s="6"/>
    </row>
    <row r="26" spans="6:6">
      <c r="F26" s="6"/>
    </row>
    <row r="27" spans="6:6">
      <c r="F27" s="6"/>
    </row>
    <row r="28" spans="6:6">
      <c r="F28" s="6"/>
    </row>
    <row r="29" spans="6:6">
      <c r="F29" s="6"/>
    </row>
    <row r="30" spans="6:6">
      <c r="F30" s="6"/>
    </row>
    <row r="31" spans="6:6">
      <c r="F31" s="6"/>
    </row>
    <row r="32" spans="6:6">
      <c r="F32" s="6"/>
    </row>
    <row r="33" spans="6:6">
      <c r="F33" s="6"/>
    </row>
    <row r="34" spans="6:6">
      <c r="F34" s="6"/>
    </row>
    <row r="35" spans="6:6">
      <c r="F35" s="6"/>
    </row>
    <row r="36" spans="6:6">
      <c r="F36" s="6"/>
    </row>
    <row r="37" spans="6:6">
      <c r="F37" s="6"/>
    </row>
    <row r="38" spans="6:6">
      <c r="F38" s="6"/>
    </row>
    <row r="39" spans="6:6">
      <c r="F39" s="6"/>
    </row>
    <row r="40" spans="6:6">
      <c r="F40" s="6"/>
    </row>
    <row r="41" spans="6:6">
      <c r="F41" s="6"/>
    </row>
    <row r="42" spans="6:6">
      <c r="F42" s="6"/>
    </row>
    <row r="43" spans="6:6">
      <c r="F43" s="6"/>
    </row>
    <row r="44" spans="6:6">
      <c r="F44" s="6"/>
    </row>
    <row r="45" spans="6:6">
      <c r="F45" s="6"/>
    </row>
    <row r="46" spans="6:6">
      <c r="F46" s="6"/>
    </row>
    <row r="47" spans="6:6">
      <c r="F47" s="6"/>
    </row>
    <row r="48" spans="6:6">
      <c r="F48" s="6"/>
    </row>
    <row r="49" spans="6:6">
      <c r="F49" s="6"/>
    </row>
    <row r="50" spans="6:6">
      <c r="F50" s="6"/>
    </row>
    <row r="51" spans="6:6">
      <c r="F51" s="6"/>
    </row>
    <row r="52" spans="6:6">
      <c r="F52" s="6"/>
    </row>
    <row r="53" spans="6:6">
      <c r="F53" s="6"/>
    </row>
    <row r="54" spans="6:6">
      <c r="F54" s="6"/>
    </row>
    <row r="55" spans="6:6">
      <c r="F55" s="6"/>
    </row>
    <row r="56" spans="6:6">
      <c r="F56" s="6"/>
    </row>
    <row r="57" spans="6:6">
      <c r="F57" s="6"/>
    </row>
    <row r="58" spans="6:6">
      <c r="F58" s="6"/>
    </row>
    <row r="59" spans="6:6">
      <c r="F59" s="6"/>
    </row>
    <row r="60" spans="6:6">
      <c r="F60" s="6"/>
    </row>
    <row r="61" spans="6:6">
      <c r="F61" s="6"/>
    </row>
    <row r="62" spans="6:6">
      <c r="F62" s="6"/>
    </row>
    <row r="63" spans="6:6">
      <c r="F63" s="6"/>
    </row>
    <row r="64" spans="6:6">
      <c r="F64" s="6"/>
    </row>
    <row r="65" spans="6:6">
      <c r="F65" s="6"/>
    </row>
    <row r="66" spans="6:6">
      <c r="F66" s="6"/>
    </row>
    <row r="67" spans="6:6">
      <c r="F67" s="6"/>
    </row>
    <row r="68" spans="6:6">
      <c r="F68" s="6"/>
    </row>
    <row r="69" spans="6:6">
      <c r="F69" s="6"/>
    </row>
    <row r="70" spans="6:6">
      <c r="F70" s="6"/>
    </row>
    <row r="71" spans="6:6">
      <c r="F71" s="6"/>
    </row>
    <row r="72" spans="6:6">
      <c r="F72" s="6"/>
    </row>
    <row r="73" spans="6:6">
      <c r="F73" s="6"/>
    </row>
    <row r="74" spans="6:6">
      <c r="F74" s="6"/>
    </row>
    <row r="75" spans="6:6">
      <c r="F75" s="6"/>
    </row>
    <row r="76" spans="6:6">
      <c r="F76" s="6"/>
    </row>
    <row r="77" spans="6:6">
      <c r="F77" s="6"/>
    </row>
    <row r="78" spans="6:6">
      <c r="F78" s="6"/>
    </row>
    <row r="79" spans="6:6">
      <c r="F79" s="6"/>
    </row>
    <row r="80" spans="6:6">
      <c r="F80" s="6"/>
    </row>
    <row r="81" spans="6:6">
      <c r="F81" s="6"/>
    </row>
    <row r="82" spans="6:6">
      <c r="F82" s="6"/>
    </row>
    <row r="83" spans="6:6">
      <c r="F83" s="6"/>
    </row>
    <row r="84" spans="6:6">
      <c r="F84" s="6"/>
    </row>
    <row r="85" spans="6:6">
      <c r="F85" s="6"/>
    </row>
    <row r="86" spans="6:6">
      <c r="F86" s="6"/>
    </row>
    <row r="87" spans="6:6">
      <c r="F87" s="6"/>
    </row>
    <row r="88" spans="6:6">
      <c r="F88" s="6"/>
    </row>
    <row r="89" spans="6:6">
      <c r="F89" s="6"/>
    </row>
    <row r="90" spans="6:6">
      <c r="F90" s="6"/>
    </row>
    <row r="91" spans="6:6">
      <c r="F91" s="6"/>
    </row>
    <row r="92" spans="6:6">
      <c r="F92" s="6"/>
    </row>
    <row r="93" spans="6:6">
      <c r="F93" s="6"/>
    </row>
    <row r="94" spans="6:6">
      <c r="F94" s="6"/>
    </row>
    <row r="95" spans="6:6">
      <c r="F95" s="6"/>
    </row>
    <row r="96" spans="6:6">
      <c r="F96" s="6"/>
    </row>
    <row r="97" spans="6:6">
      <c r="F97" s="6"/>
    </row>
    <row r="98" spans="6:6">
      <c r="F98" s="6"/>
    </row>
    <row r="99" spans="6:6">
      <c r="F99" s="6"/>
    </row>
    <row r="100" spans="6:6">
      <c r="F100" s="6"/>
    </row>
  </sheetData>
  <phoneticPr fontId="5" type="noConversion"/>
  <dataValidations count="4">
    <dataValidation type="list" sqref="C2:C16">
      <formula1>"공부,독서,팀플,식사,간식,관광,산책,사진촬영,휴식,진로,데이트"</formula1>
    </dataValidation>
    <dataValidation type="list" sqref="D2:D16">
      <formula1>"비오는날,조용한곳,시험기간,저렴한곳,여행,맑은날,노을"</formula1>
    </dataValidation>
    <dataValidation type="list" sqref="E2:E16">
      <formula1>"혼자,친구,가족"</formula1>
    </dataValidation>
    <dataValidation type="list" sqref="I2:I16">
      <formula1>"O,X"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workbookViewId="0">
      <selection activeCell="B1" sqref="B1:B1048576"/>
    </sheetView>
  </sheetViews>
  <sheetFormatPr defaultColWidth="14.25" defaultRowHeight="14"/>
  <cols>
    <col min="3" max="3" width="8.58203125" bestFit="1" customWidth="1"/>
  </cols>
  <sheetData>
    <row r="1" spans="1:13" ht="14.65" customHeight="1">
      <c r="A1" s="3" t="s">
        <v>37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5</v>
      </c>
      <c r="L1" s="3" t="s">
        <v>38</v>
      </c>
      <c r="M1" s="3" t="s">
        <v>40</v>
      </c>
    </row>
    <row r="2" spans="1:13" ht="10" customHeight="1">
      <c r="A2" s="4" t="str">
        <f>추천정보!A2</f>
        <v>R001</v>
      </c>
      <c r="B2" s="4">
        <f>추천정보!B2</f>
        <v>1</v>
      </c>
      <c r="C2" s="4" t="e">
        <f ca="1">XLOOKUP(B2,장소정보!$A:$A,장소정보!$B:$B,"")</f>
        <v>#NAME?</v>
      </c>
      <c r="D2" s="4" t="e">
        <f ca="1">XLOOKUP(B2,장소정보!$A:$A,장소정보!$C:$C,"")</f>
        <v>#NAME?</v>
      </c>
      <c r="E2" s="4" t="e">
        <f ca="1">XLOOKUP(B2,장소정보!$A:$A,장소정보!$D:$D,"")</f>
        <v>#NAME?</v>
      </c>
      <c r="F2" s="4" t="e">
        <f ca="1">XLOOKUP(B2,장소정보!$A:$A,장소정보!$E:$E,"")</f>
        <v>#NAME?</v>
      </c>
      <c r="G2" s="4" t="e">
        <f ca="1">XLOOKUP(B2,장소정보!$A:$A,장소정보!$F:$F,"")</f>
        <v>#NAME?</v>
      </c>
      <c r="H2" s="4" t="str">
        <f>추천정보!C2</f>
        <v>공부</v>
      </c>
      <c r="I2" s="4" t="str">
        <f>추천정보!D2</f>
        <v>비오는날</v>
      </c>
      <c r="J2" s="4" t="str">
        <f>추천정보!E2</f>
        <v>혼자</v>
      </c>
      <c r="K2" s="5">
        <f>추천정보!F2</f>
        <v>0</v>
      </c>
      <c r="L2" s="4" t="str">
        <f>추천정보!G2</f>
        <v>조용한 자습</v>
      </c>
      <c r="M2" s="4" t="str">
        <f>추천정보!I2</f>
        <v>X</v>
      </c>
    </row>
    <row r="3" spans="1:13" ht="10" customHeight="1">
      <c r="A3" s="4" t="str">
        <f>추천정보!A3</f>
        <v>R002</v>
      </c>
      <c r="B3" s="4">
        <f>추천정보!B3</f>
        <v>1</v>
      </c>
      <c r="C3" s="4" t="e">
        <f ca="1">XLOOKUP(B3,장소정보!$A:$A,장소정보!$B:$B,"")</f>
        <v>#NAME?</v>
      </c>
      <c r="D3" s="4" t="e">
        <f ca="1">XLOOKUP(B3,장소정보!$A:$A,장소정보!$C:$C,"")</f>
        <v>#NAME?</v>
      </c>
      <c r="E3" s="4" t="e">
        <f ca="1">XLOOKUP(B3,장소정보!$A:$A,장소정보!$D:$D,"")</f>
        <v>#NAME?</v>
      </c>
      <c r="F3" s="4" t="e">
        <f ca="1">XLOOKUP(B3,장소정보!$A:$A,장소정보!$E:$E,"")</f>
        <v>#NAME?</v>
      </c>
      <c r="G3" s="4" t="e">
        <f ca="1">XLOOKUP(B3,장소정보!$A:$A,장소정보!$F:$F,"")</f>
        <v>#NAME?</v>
      </c>
      <c r="H3" s="4" t="str">
        <f>추천정보!C3</f>
        <v>독서</v>
      </c>
      <c r="I3" s="4" t="str">
        <f>추천정보!D3</f>
        <v>조용한곳</v>
      </c>
      <c r="J3" s="4" t="str">
        <f>추천정보!E3</f>
        <v>혼자</v>
      </c>
      <c r="K3" s="5">
        <f>추천정보!F3</f>
        <v>0</v>
      </c>
      <c r="L3" s="4" t="str">
        <f>추천정보!G3</f>
        <v>관심 분야 책 읽기</v>
      </c>
      <c r="M3" s="4" t="str">
        <f>추천정보!I3</f>
        <v>X</v>
      </c>
    </row>
    <row r="4" spans="1:13" ht="10" customHeight="1">
      <c r="A4" s="4" t="str">
        <f>추천정보!A4</f>
        <v>R003</v>
      </c>
      <c r="B4" s="4">
        <f>추천정보!B4</f>
        <v>1</v>
      </c>
      <c r="C4" s="4" t="e">
        <f ca="1">XLOOKUP(B4,장소정보!$A:$A,장소정보!$B:$B,"")</f>
        <v>#NAME?</v>
      </c>
      <c r="D4" s="4" t="e">
        <f ca="1">XLOOKUP(B4,장소정보!$A:$A,장소정보!$C:$C,"")</f>
        <v>#NAME?</v>
      </c>
      <c r="E4" s="4" t="e">
        <f ca="1">XLOOKUP(B4,장소정보!$A:$A,장소정보!$D:$D,"")</f>
        <v>#NAME?</v>
      </c>
      <c r="F4" s="4" t="e">
        <f ca="1">XLOOKUP(B4,장소정보!$A:$A,장소정보!$E:$E,"")</f>
        <v>#NAME?</v>
      </c>
      <c r="G4" s="4" t="e">
        <f ca="1">XLOOKUP(B4,장소정보!$A:$A,장소정보!$F:$F,"")</f>
        <v>#NAME?</v>
      </c>
      <c r="H4" s="4" t="str">
        <f>추천정보!C4</f>
        <v>팀플</v>
      </c>
      <c r="I4" s="4" t="str">
        <f>추천정보!D4</f>
        <v>시험기간</v>
      </c>
      <c r="J4" s="4" t="str">
        <f>추천정보!E4</f>
        <v>친구</v>
      </c>
      <c r="K4" s="5">
        <f>추천정보!F4</f>
        <v>0</v>
      </c>
      <c r="L4" s="4" t="str">
        <f>추천정보!G4</f>
        <v>자료 조사 및 발표 준비</v>
      </c>
      <c r="M4" s="4" t="str">
        <f>추천정보!I4</f>
        <v>X</v>
      </c>
    </row>
    <row r="5" spans="1:13" ht="10" customHeight="1">
      <c r="A5" s="4" t="str">
        <f>추천정보!A5</f>
        <v>R004</v>
      </c>
      <c r="B5" s="4">
        <f>추천정보!B5</f>
        <v>2</v>
      </c>
      <c r="C5" s="4" t="e">
        <f ca="1">XLOOKUP(B5,장소정보!$A:$A,장소정보!$B:$B,"")</f>
        <v>#NAME?</v>
      </c>
      <c r="D5" s="4" t="e">
        <f ca="1">XLOOKUP(B5,장소정보!$A:$A,장소정보!$C:$C,"")</f>
        <v>#NAME?</v>
      </c>
      <c r="E5" s="4" t="e">
        <f ca="1">XLOOKUP(B5,장소정보!$A:$A,장소정보!$D:$D,"")</f>
        <v>#NAME?</v>
      </c>
      <c r="F5" s="4" t="e">
        <f ca="1">XLOOKUP(B5,장소정보!$A:$A,장소정보!$E:$E,"")</f>
        <v>#NAME?</v>
      </c>
      <c r="G5" s="4" t="e">
        <f ca="1">XLOOKUP(B5,장소정보!$A:$A,장소정보!$F:$F,"")</f>
        <v>#NAME?</v>
      </c>
      <c r="H5" s="4" t="str">
        <f>추천정보!C5</f>
        <v>식사</v>
      </c>
      <c r="I5" s="4" t="str">
        <f>추천정보!D5</f>
        <v>저렴한곳</v>
      </c>
      <c r="J5" s="4" t="str">
        <f>추천정보!E5</f>
        <v>친구</v>
      </c>
      <c r="K5" s="5">
        <f>추천정보!F5</f>
        <v>10000</v>
      </c>
      <c r="L5" s="4" t="str">
        <f>추천정보!G5</f>
        <v>시장 음식 먹기</v>
      </c>
      <c r="M5" s="4" t="str">
        <f>추천정보!I5</f>
        <v>X</v>
      </c>
    </row>
    <row r="6" spans="1:13" ht="10" customHeight="1">
      <c r="A6" s="4" t="str">
        <f>추천정보!A6</f>
        <v>R005</v>
      </c>
      <c r="B6" s="4">
        <f>추천정보!B6</f>
        <v>2</v>
      </c>
      <c r="C6" s="4" t="e">
        <f ca="1">XLOOKUP(B6,장소정보!$A:$A,장소정보!$B:$B,"")</f>
        <v>#NAME?</v>
      </c>
      <c r="D6" s="4" t="e">
        <f ca="1">XLOOKUP(B6,장소정보!$A:$A,장소정보!$C:$C,"")</f>
        <v>#NAME?</v>
      </c>
      <c r="E6" s="4" t="e">
        <f ca="1">XLOOKUP(B6,장소정보!$A:$A,장소정보!$D:$D,"")</f>
        <v>#NAME?</v>
      </c>
      <c r="F6" s="4" t="e">
        <f ca="1">XLOOKUP(B6,장소정보!$A:$A,장소정보!$E:$E,"")</f>
        <v>#NAME?</v>
      </c>
      <c r="G6" s="4" t="e">
        <f ca="1">XLOOKUP(B6,장소정보!$A:$A,장소정보!$F:$F,"")</f>
        <v>#NAME?</v>
      </c>
      <c r="H6" s="4" t="str">
        <f>추천정보!C6</f>
        <v>간식</v>
      </c>
      <c r="I6" s="4" t="str">
        <f>추천정보!D6</f>
        <v>비오는날</v>
      </c>
      <c r="J6" s="4" t="str">
        <f>추천정보!E6</f>
        <v>친구</v>
      </c>
      <c r="K6" s="5">
        <f>추천정보!F6</f>
        <v>5000</v>
      </c>
      <c r="L6" s="4" t="str">
        <f>추천정보!G6</f>
        <v>분식·간식 먹기</v>
      </c>
      <c r="M6" s="4" t="str">
        <f>추천정보!I6</f>
        <v>X</v>
      </c>
    </row>
    <row r="7" spans="1:13" ht="10" customHeight="1">
      <c r="A7" s="4" t="str">
        <f>추천정보!A7</f>
        <v>R006</v>
      </c>
      <c r="B7" s="4">
        <f>추천정보!B7</f>
        <v>2</v>
      </c>
      <c r="C7" s="4" t="e">
        <f ca="1">XLOOKUP(B7,장소정보!$A:$A,장소정보!$B:$B,"")</f>
        <v>#NAME?</v>
      </c>
      <c r="D7" s="4" t="e">
        <f ca="1">XLOOKUP(B7,장소정보!$A:$A,장소정보!$C:$C,"")</f>
        <v>#NAME?</v>
      </c>
      <c r="E7" s="4" t="e">
        <f ca="1">XLOOKUP(B7,장소정보!$A:$A,장소정보!$D:$D,"")</f>
        <v>#NAME?</v>
      </c>
      <c r="F7" s="4" t="e">
        <f ca="1">XLOOKUP(B7,장소정보!$A:$A,장소정보!$E:$E,"")</f>
        <v>#NAME?</v>
      </c>
      <c r="G7" s="4" t="e">
        <f ca="1">XLOOKUP(B7,장소정보!$A:$A,장소정보!$F:$F,"")</f>
        <v>#NAME?</v>
      </c>
      <c r="H7" s="4" t="str">
        <f>추천정보!C7</f>
        <v>관광</v>
      </c>
      <c r="I7" s="4" t="str">
        <f>추천정보!D7</f>
        <v>여행</v>
      </c>
      <c r="J7" s="4" t="str">
        <f>추천정보!E7</f>
        <v>가족</v>
      </c>
      <c r="K7" s="5">
        <f>추천정보!F7</f>
        <v>12000</v>
      </c>
      <c r="L7" s="4" t="str">
        <f>추천정보!G7</f>
        <v>지역 먹거리 체험</v>
      </c>
      <c r="M7" s="4" t="str">
        <f>추천정보!I7</f>
        <v>X</v>
      </c>
    </row>
    <row r="8" spans="1:13" ht="10" customHeight="1">
      <c r="A8" s="4" t="str">
        <f>추천정보!A8</f>
        <v>R007</v>
      </c>
      <c r="B8" s="4">
        <f>추천정보!B8</f>
        <v>3</v>
      </c>
      <c r="C8" s="4" t="e">
        <f ca="1">XLOOKUP(B8,장소정보!$A:$A,장소정보!$B:$B,"")</f>
        <v>#NAME?</v>
      </c>
      <c r="D8" s="4" t="e">
        <f ca="1">XLOOKUP(B8,장소정보!$A:$A,장소정보!$C:$C,"")</f>
        <v>#NAME?</v>
      </c>
      <c r="E8" s="4" t="e">
        <f ca="1">XLOOKUP(B8,장소정보!$A:$A,장소정보!$D:$D,"")</f>
        <v>#NAME?</v>
      </c>
      <c r="F8" s="4" t="e">
        <f ca="1">XLOOKUP(B8,장소정보!$A:$A,장소정보!$E:$E,"")</f>
        <v>#NAME?</v>
      </c>
      <c r="G8" s="4" t="e">
        <f ca="1">XLOOKUP(B8,장소정보!$A:$A,장소정보!$F:$F,"")</f>
        <v>#NAME?</v>
      </c>
      <c r="H8" s="4" t="str">
        <f>추천정보!C8</f>
        <v>산책</v>
      </c>
      <c r="I8" s="4" t="str">
        <f>추천정보!D8</f>
        <v>맑은날</v>
      </c>
      <c r="J8" s="4" t="str">
        <f>추천정보!E8</f>
        <v>가족</v>
      </c>
      <c r="K8" s="5">
        <f>추천정보!F8</f>
        <v>0</v>
      </c>
      <c r="L8" s="4" t="str">
        <f>추천정보!G8</f>
        <v>해변 산책</v>
      </c>
      <c r="M8" s="4" t="str">
        <f>추천정보!I8</f>
        <v>X</v>
      </c>
    </row>
    <row r="9" spans="1:13" ht="10" customHeight="1">
      <c r="A9" s="4" t="str">
        <f>추천정보!A9</f>
        <v>R008</v>
      </c>
      <c r="B9" s="4">
        <f>추천정보!B9</f>
        <v>3</v>
      </c>
      <c r="C9" s="4" t="e">
        <f ca="1">XLOOKUP(B9,장소정보!$A:$A,장소정보!$B:$B,"")</f>
        <v>#NAME?</v>
      </c>
      <c r="D9" s="4" t="e">
        <f ca="1">XLOOKUP(B9,장소정보!$A:$A,장소정보!$C:$C,"")</f>
        <v>#NAME?</v>
      </c>
      <c r="E9" s="4" t="e">
        <f ca="1">XLOOKUP(B9,장소정보!$A:$A,장소정보!$D:$D,"")</f>
        <v>#NAME?</v>
      </c>
      <c r="F9" s="4" t="e">
        <f ca="1">XLOOKUP(B9,장소정보!$A:$A,장소정보!$E:$E,"")</f>
        <v>#NAME?</v>
      </c>
      <c r="G9" s="4" t="e">
        <f ca="1">XLOOKUP(B9,장소정보!$A:$A,장소정보!$F:$F,"")</f>
        <v>#NAME?</v>
      </c>
      <c r="H9" s="4" t="str">
        <f>추천정보!C9</f>
        <v>사진촬영</v>
      </c>
      <c r="I9" s="4" t="str">
        <f>추천정보!D9</f>
        <v>노을</v>
      </c>
      <c r="J9" s="4" t="str">
        <f>추천정보!E9</f>
        <v>친구</v>
      </c>
      <c r="K9" s="5">
        <f>추천정보!F9</f>
        <v>0</v>
      </c>
      <c r="L9" s="4" t="str">
        <f>추천정보!G9</f>
        <v>바다 사진 찍기</v>
      </c>
      <c r="M9" s="4" t="str">
        <f>추천정보!I9</f>
        <v>X</v>
      </c>
    </row>
    <row r="10" spans="1:13" ht="10" customHeight="1">
      <c r="A10" s="4" t="str">
        <f>추천정보!A10</f>
        <v>R009</v>
      </c>
      <c r="B10" s="4">
        <f>추천정보!B10</f>
        <v>3</v>
      </c>
      <c r="C10" s="4" t="e">
        <f ca="1">XLOOKUP(B10,장소정보!$A:$A,장소정보!$B:$B,"")</f>
        <v>#NAME?</v>
      </c>
      <c r="D10" s="4" t="e">
        <f ca="1">XLOOKUP(B10,장소정보!$A:$A,장소정보!$C:$C,"")</f>
        <v>#NAME?</v>
      </c>
      <c r="E10" s="4" t="e">
        <f ca="1">XLOOKUP(B10,장소정보!$A:$A,장소정보!$D:$D,"")</f>
        <v>#NAME?</v>
      </c>
      <c r="F10" s="4" t="e">
        <f ca="1">XLOOKUP(B10,장소정보!$A:$A,장소정보!$E:$E,"")</f>
        <v>#NAME?</v>
      </c>
      <c r="G10" s="4" t="e">
        <f ca="1">XLOOKUP(B10,장소정보!$A:$A,장소정보!$F:$F,"")</f>
        <v>#NAME?</v>
      </c>
      <c r="H10" s="4" t="str">
        <f>추천정보!C10</f>
        <v>휴식</v>
      </c>
      <c r="I10" s="4" t="str">
        <f>추천정보!D10</f>
        <v>여행</v>
      </c>
      <c r="J10" s="4" t="str">
        <f>추천정보!E10</f>
        <v>혼자</v>
      </c>
      <c r="K10" s="5">
        <f>추천정보!F10</f>
        <v>0</v>
      </c>
      <c r="L10" s="4" t="str">
        <f>추천정보!G10</f>
        <v>바다 보며 쉬기</v>
      </c>
      <c r="M10" s="4" t="str">
        <f>추천정보!I10</f>
        <v>X</v>
      </c>
    </row>
    <row r="11" spans="1:13" ht="10" customHeight="1">
      <c r="A11" s="4" t="str">
        <f>추천정보!A11</f>
        <v>R010</v>
      </c>
      <c r="B11" s="4">
        <f>추천정보!B11</f>
        <v>4</v>
      </c>
      <c r="C11" s="4" t="e">
        <f ca="1">XLOOKUP(B11,장소정보!$A:$A,장소정보!$B:$B,"")</f>
        <v>#NAME?</v>
      </c>
      <c r="D11" s="4" t="e">
        <f ca="1">XLOOKUP(B11,장소정보!$A:$A,장소정보!$C:$C,"")</f>
        <v>#NAME?</v>
      </c>
      <c r="E11" s="4" t="e">
        <f ca="1">XLOOKUP(B11,장소정보!$A:$A,장소정보!$D:$D,"")</f>
        <v>#NAME?</v>
      </c>
      <c r="F11" s="4" t="e">
        <f ca="1">XLOOKUP(B11,장소정보!$A:$A,장소정보!$E:$E,"")</f>
        <v>#NAME?</v>
      </c>
      <c r="G11" s="4" t="e">
        <f ca="1">XLOOKUP(B11,장소정보!$A:$A,장소정보!$F:$F,"")</f>
        <v>#NAME?</v>
      </c>
      <c r="H11" s="4" t="str">
        <f>추천정보!C11</f>
        <v>공부</v>
      </c>
      <c r="I11" s="4" t="str">
        <f>추천정보!D11</f>
        <v>조용한곳</v>
      </c>
      <c r="J11" s="4" t="str">
        <f>추천정보!E11</f>
        <v>혼자</v>
      </c>
      <c r="K11" s="5">
        <f>추천정보!F11</f>
        <v>0</v>
      </c>
      <c r="L11" s="4" t="str">
        <f>추천정보!G11</f>
        <v>자습 및 과제</v>
      </c>
      <c r="M11" s="4" t="str">
        <f>추천정보!I11</f>
        <v>X</v>
      </c>
    </row>
    <row r="12" spans="1:13" ht="10" customHeight="1">
      <c r="A12" s="4" t="str">
        <f>추천정보!A12</f>
        <v>R011</v>
      </c>
      <c r="B12" s="4">
        <f>추천정보!B12</f>
        <v>4</v>
      </c>
      <c r="C12" s="4" t="e">
        <f ca="1">XLOOKUP(B12,장소정보!$A:$A,장소정보!$B:$B,"")</f>
        <v>#NAME?</v>
      </c>
      <c r="D12" s="4" t="e">
        <f ca="1">XLOOKUP(B12,장소정보!$A:$A,장소정보!$C:$C,"")</f>
        <v>#NAME?</v>
      </c>
      <c r="E12" s="4" t="e">
        <f ca="1">XLOOKUP(B12,장소정보!$A:$A,장소정보!$D:$D,"")</f>
        <v>#NAME?</v>
      </c>
      <c r="F12" s="4" t="e">
        <f ca="1">XLOOKUP(B12,장소정보!$A:$A,장소정보!$E:$E,"")</f>
        <v>#NAME?</v>
      </c>
      <c r="G12" s="4" t="e">
        <f ca="1">XLOOKUP(B12,장소정보!$A:$A,장소정보!$F:$F,"")</f>
        <v>#NAME?</v>
      </c>
      <c r="H12" s="4" t="str">
        <f>추천정보!C12</f>
        <v>독서</v>
      </c>
      <c r="I12" s="4" t="str">
        <f>추천정보!D12</f>
        <v>비오는날</v>
      </c>
      <c r="J12" s="4" t="str">
        <f>추천정보!E12</f>
        <v>가족</v>
      </c>
      <c r="K12" s="5">
        <f>추천정보!F12</f>
        <v>0</v>
      </c>
      <c r="L12" s="4" t="str">
        <f>추천정보!G12</f>
        <v>가족 독서 시간</v>
      </c>
      <c r="M12" s="4" t="str">
        <f>추천정보!I12</f>
        <v>X</v>
      </c>
    </row>
    <row r="13" spans="1:13" ht="10" customHeight="1">
      <c r="A13" s="4" t="str">
        <f>추천정보!A13</f>
        <v>R012</v>
      </c>
      <c r="B13" s="4">
        <f>추천정보!B13</f>
        <v>4</v>
      </c>
      <c r="C13" s="4" t="e">
        <f ca="1">XLOOKUP(B13,장소정보!$A:$A,장소정보!$B:$B,"")</f>
        <v>#NAME?</v>
      </c>
      <c r="D13" s="4" t="e">
        <f ca="1">XLOOKUP(B13,장소정보!$A:$A,장소정보!$C:$C,"")</f>
        <v>#NAME?</v>
      </c>
      <c r="E13" s="4" t="e">
        <f ca="1">XLOOKUP(B13,장소정보!$A:$A,장소정보!$D:$D,"")</f>
        <v>#NAME?</v>
      </c>
      <c r="F13" s="4" t="e">
        <f ca="1">XLOOKUP(B13,장소정보!$A:$A,장소정보!$E:$E,"")</f>
        <v>#NAME?</v>
      </c>
      <c r="G13" s="4" t="e">
        <f ca="1">XLOOKUP(B13,장소정보!$A:$A,장소정보!$F:$F,"")</f>
        <v>#NAME?</v>
      </c>
      <c r="H13" s="4" t="str">
        <f>추천정보!C13</f>
        <v>진로</v>
      </c>
      <c r="I13" s="4" t="str">
        <f>추천정보!D13</f>
        <v>시험기간</v>
      </c>
      <c r="J13" s="4" t="str">
        <f>추천정보!E13</f>
        <v>친구</v>
      </c>
      <c r="K13" s="5">
        <f>추천정보!F13</f>
        <v>0</v>
      </c>
      <c r="L13" s="4" t="str">
        <f>추천정보!G13</f>
        <v>진로 자료 탐색</v>
      </c>
      <c r="M13" s="4" t="str">
        <f>추천정보!I13</f>
        <v>X</v>
      </c>
    </row>
    <row r="14" spans="1:13" ht="10" customHeight="1">
      <c r="A14" s="4" t="str">
        <f>추천정보!A14</f>
        <v>R013</v>
      </c>
      <c r="B14" s="4">
        <f>추천정보!B14</f>
        <v>5</v>
      </c>
      <c r="C14" s="4" t="e">
        <f ca="1">XLOOKUP(B14,장소정보!$A:$A,장소정보!$B:$B,"")</f>
        <v>#NAME?</v>
      </c>
      <c r="D14" s="4" t="e">
        <f ca="1">XLOOKUP(B14,장소정보!$A:$A,장소정보!$C:$C,"")</f>
        <v>#NAME?</v>
      </c>
      <c r="E14" s="4" t="e">
        <f ca="1">XLOOKUP(B14,장소정보!$A:$A,장소정보!$D:$D,"")</f>
        <v>#NAME?</v>
      </c>
      <c r="F14" s="4" t="e">
        <f ca="1">XLOOKUP(B14,장소정보!$A:$A,장소정보!$E:$E,"")</f>
        <v>#NAME?</v>
      </c>
      <c r="G14" s="4" t="e">
        <f ca="1">XLOOKUP(B14,장소정보!$A:$A,장소정보!$F:$F,"")</f>
        <v>#NAME?</v>
      </c>
      <c r="H14" s="4" t="str">
        <f>추천정보!C14</f>
        <v>데이트</v>
      </c>
      <c r="I14" s="4" t="str">
        <f>추천정보!D14</f>
        <v>여행</v>
      </c>
      <c r="J14" s="4" t="str">
        <f>추천정보!E14</f>
        <v>친구</v>
      </c>
      <c r="K14" s="5">
        <f>추천정보!F14</f>
        <v>15000</v>
      </c>
      <c r="L14" s="4" t="str">
        <f>추천정보!G14</f>
        <v>카페 방문</v>
      </c>
      <c r="M14" s="4" t="str">
        <f>추천정보!I14</f>
        <v>X</v>
      </c>
    </row>
    <row r="15" spans="1:13" ht="10" customHeight="1">
      <c r="A15" s="4" t="str">
        <f>추천정보!A15</f>
        <v>R014</v>
      </c>
      <c r="B15" s="4">
        <f>추천정보!B15</f>
        <v>5</v>
      </c>
      <c r="C15" s="4" t="e">
        <f ca="1">XLOOKUP(B15,장소정보!$A:$A,장소정보!$B:$B,"")</f>
        <v>#NAME?</v>
      </c>
      <c r="D15" s="4" t="e">
        <f ca="1">XLOOKUP(B15,장소정보!$A:$A,장소정보!$C:$C,"")</f>
        <v>#NAME?</v>
      </c>
      <c r="E15" s="4" t="e">
        <f ca="1">XLOOKUP(B15,장소정보!$A:$A,장소정보!$D:$D,"")</f>
        <v>#NAME?</v>
      </c>
      <c r="F15" s="4" t="e">
        <f ca="1">XLOOKUP(B15,장소정보!$A:$A,장소정보!$E:$E,"")</f>
        <v>#NAME?</v>
      </c>
      <c r="G15" s="4" t="e">
        <f ca="1">XLOOKUP(B15,장소정보!$A:$A,장소정보!$F:$F,"")</f>
        <v>#NAME?</v>
      </c>
      <c r="H15" s="4" t="str">
        <f>추천정보!C15</f>
        <v>사진촬영</v>
      </c>
      <c r="I15" s="4" t="str">
        <f>추천정보!D15</f>
        <v>맑은날</v>
      </c>
      <c r="J15" s="4" t="str">
        <f>추천정보!E15</f>
        <v>친구</v>
      </c>
      <c r="K15" s="5">
        <f>추천정보!F15</f>
        <v>15000</v>
      </c>
      <c r="L15" s="4" t="str">
        <f>추천정보!G15</f>
        <v>카페 사진 찍기</v>
      </c>
      <c r="M15" s="4" t="str">
        <f>추천정보!I15</f>
        <v>X</v>
      </c>
    </row>
    <row r="16" spans="1:13" ht="10" customHeight="1">
      <c r="A16" s="4" t="str">
        <f>추천정보!A16</f>
        <v>R015</v>
      </c>
      <c r="B16" s="4">
        <f>추천정보!B16</f>
        <v>5</v>
      </c>
      <c r="C16" s="4" t="e">
        <f ca="1">XLOOKUP(B16,장소정보!$A:$A,장소정보!$B:$B,"")</f>
        <v>#NAME?</v>
      </c>
      <c r="D16" s="4" t="e">
        <f ca="1">XLOOKUP(B16,장소정보!$A:$A,장소정보!$C:$C,"")</f>
        <v>#NAME?</v>
      </c>
      <c r="E16" s="4" t="e">
        <f ca="1">XLOOKUP(B16,장소정보!$A:$A,장소정보!$D:$D,"")</f>
        <v>#NAME?</v>
      </c>
      <c r="F16" s="4" t="e">
        <f ca="1">XLOOKUP(B16,장소정보!$A:$A,장소정보!$E:$E,"")</f>
        <v>#NAME?</v>
      </c>
      <c r="G16" s="4" t="e">
        <f ca="1">XLOOKUP(B16,장소정보!$A:$A,장소정보!$F:$F,"")</f>
        <v>#NAME?</v>
      </c>
      <c r="H16" s="4" t="str">
        <f>추천정보!C16</f>
        <v>간식</v>
      </c>
      <c r="I16" s="4" t="str">
        <f>추천정보!D16</f>
        <v>여행</v>
      </c>
      <c r="J16" s="4" t="str">
        <f>추천정보!E16</f>
        <v>가족</v>
      </c>
      <c r="K16" s="5">
        <f>추천정보!F16</f>
        <v>20000</v>
      </c>
      <c r="L16" s="4" t="str">
        <f>추천정보!G16</f>
        <v>감자빵 먹기</v>
      </c>
      <c r="M16" s="4" t="str">
        <f>추천정보!I16</f>
        <v>X</v>
      </c>
    </row>
    <row r="17" spans="11:11">
      <c r="K17" s="6"/>
    </row>
    <row r="18" spans="11:11">
      <c r="K18" s="6"/>
    </row>
    <row r="19" spans="11:11">
      <c r="K19" s="6"/>
    </row>
    <row r="20" spans="11:11">
      <c r="K20" s="6"/>
    </row>
    <row r="21" spans="11:11">
      <c r="K21" s="6"/>
    </row>
    <row r="22" spans="11:11">
      <c r="K22" s="6"/>
    </row>
    <row r="23" spans="11:11">
      <c r="K23" s="6"/>
    </row>
    <row r="24" spans="11:11">
      <c r="K24" s="6"/>
    </row>
    <row r="25" spans="11:11">
      <c r="K25" s="6"/>
    </row>
    <row r="26" spans="11:11">
      <c r="K26" s="6"/>
    </row>
    <row r="27" spans="11:11">
      <c r="K27" s="6"/>
    </row>
    <row r="28" spans="11:11">
      <c r="K28" s="6"/>
    </row>
    <row r="29" spans="11:11">
      <c r="K29" s="6"/>
    </row>
    <row r="30" spans="11:11">
      <c r="K30" s="6"/>
    </row>
    <row r="31" spans="11:11">
      <c r="K31" s="6"/>
    </row>
    <row r="32" spans="11:11">
      <c r="K32" s="6"/>
    </row>
    <row r="33" spans="11:11">
      <c r="K33" s="6"/>
    </row>
    <row r="34" spans="11:11">
      <c r="K34" s="6"/>
    </row>
    <row r="35" spans="11:11">
      <c r="K35" s="6"/>
    </row>
    <row r="36" spans="11:11">
      <c r="K36" s="6"/>
    </row>
    <row r="37" spans="11:11">
      <c r="K37" s="6"/>
    </row>
    <row r="38" spans="11:11">
      <c r="K38" s="6"/>
    </row>
    <row r="39" spans="11:11">
      <c r="K39" s="6"/>
    </row>
    <row r="40" spans="11:11">
      <c r="K40" s="6"/>
    </row>
    <row r="41" spans="11:11">
      <c r="K41" s="6"/>
    </row>
    <row r="42" spans="11:11">
      <c r="K42" s="6"/>
    </row>
    <row r="43" spans="11:11">
      <c r="K43" s="6"/>
    </row>
    <row r="44" spans="11:11">
      <c r="K44" s="6"/>
    </row>
    <row r="45" spans="11:11">
      <c r="K45" s="6"/>
    </row>
    <row r="46" spans="11:11">
      <c r="K46" s="6"/>
    </row>
    <row r="47" spans="11:11">
      <c r="K47" s="6"/>
    </row>
    <row r="48" spans="11:11">
      <c r="K48" s="6"/>
    </row>
    <row r="49" spans="11:11">
      <c r="K49" s="6"/>
    </row>
    <row r="50" spans="11:11">
      <c r="K50" s="6"/>
    </row>
    <row r="51" spans="11:11">
      <c r="K51" s="6"/>
    </row>
    <row r="52" spans="11:11">
      <c r="K52" s="6"/>
    </row>
    <row r="53" spans="11:11">
      <c r="K53" s="6"/>
    </row>
    <row r="54" spans="11:11">
      <c r="K54" s="6"/>
    </row>
    <row r="55" spans="11:11">
      <c r="K55" s="6"/>
    </row>
    <row r="56" spans="11:11">
      <c r="K56" s="6"/>
    </row>
    <row r="57" spans="11:11">
      <c r="K57" s="6"/>
    </row>
    <row r="58" spans="11:11">
      <c r="K58" s="6"/>
    </row>
    <row r="59" spans="11:11">
      <c r="K59" s="6"/>
    </row>
    <row r="60" spans="11:11">
      <c r="K60" s="6"/>
    </row>
    <row r="61" spans="11:11">
      <c r="K61" s="6"/>
    </row>
    <row r="62" spans="11:11">
      <c r="K62" s="6"/>
    </row>
    <row r="63" spans="11:11">
      <c r="K63" s="6"/>
    </row>
    <row r="64" spans="11:11">
      <c r="K64" s="6"/>
    </row>
    <row r="65" spans="11:11">
      <c r="K65" s="6"/>
    </row>
    <row r="66" spans="11:11">
      <c r="K66" s="6"/>
    </row>
    <row r="67" spans="11:11">
      <c r="K67" s="6"/>
    </row>
    <row r="68" spans="11:11">
      <c r="K68" s="6"/>
    </row>
    <row r="69" spans="11:11">
      <c r="K69" s="6"/>
    </row>
    <row r="70" spans="11:11">
      <c r="K70" s="6"/>
    </row>
    <row r="71" spans="11:11">
      <c r="K71" s="6"/>
    </row>
    <row r="72" spans="11:11">
      <c r="K72" s="6"/>
    </row>
    <row r="73" spans="11:11">
      <c r="K73" s="6"/>
    </row>
    <row r="74" spans="11:11">
      <c r="K74" s="6"/>
    </row>
    <row r="75" spans="11:11">
      <c r="K75" s="6"/>
    </row>
    <row r="76" spans="11:11">
      <c r="K76" s="6"/>
    </row>
    <row r="77" spans="11:11">
      <c r="K77" s="6"/>
    </row>
    <row r="78" spans="11:11">
      <c r="K78" s="6"/>
    </row>
    <row r="79" spans="11:11">
      <c r="K79" s="6"/>
    </row>
    <row r="80" spans="11:11">
      <c r="K80" s="6"/>
    </row>
    <row r="81" spans="11:11">
      <c r="K81" s="6"/>
    </row>
    <row r="82" spans="11:11">
      <c r="K82" s="6"/>
    </row>
    <row r="83" spans="11:11">
      <c r="K83" s="6"/>
    </row>
    <row r="84" spans="11:11">
      <c r="K84" s="6"/>
    </row>
    <row r="85" spans="11:11">
      <c r="K85" s="6"/>
    </row>
    <row r="86" spans="11:11">
      <c r="K86" s="6"/>
    </row>
    <row r="87" spans="11:11">
      <c r="K87" s="6"/>
    </row>
    <row r="88" spans="11:11">
      <c r="K88" s="6"/>
    </row>
    <row r="89" spans="11:11">
      <c r="K89" s="6"/>
    </row>
    <row r="90" spans="11:11">
      <c r="K90" s="6"/>
    </row>
    <row r="91" spans="11:11">
      <c r="K91" s="6"/>
    </row>
    <row r="92" spans="11:11">
      <c r="K92" s="6"/>
    </row>
    <row r="93" spans="11:11">
      <c r="K93" s="6"/>
    </row>
    <row r="94" spans="11:11">
      <c r="K94" s="6"/>
    </row>
    <row r="95" spans="11:11">
      <c r="K95" s="6"/>
    </row>
    <row r="96" spans="11:11">
      <c r="K96" s="6"/>
    </row>
    <row r="97" spans="11:11">
      <c r="K97" s="6"/>
    </row>
    <row r="98" spans="11:11">
      <c r="K98" s="6"/>
    </row>
    <row r="99" spans="11:11">
      <c r="K99" s="6"/>
    </row>
    <row r="100" spans="11:11">
      <c r="K100" s="6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sqref="A1:B1"/>
    </sheetView>
  </sheetViews>
  <sheetFormatPr defaultRowHeight="14"/>
  <cols>
    <col min="1" max="1" width="18" customWidth="1"/>
    <col min="2" max="2" width="80" customWidth="1"/>
  </cols>
  <sheetData>
    <row r="1" spans="1:2" ht="18">
      <c r="A1" s="12" t="s">
        <v>85</v>
      </c>
      <c r="B1" s="12"/>
    </row>
    <row r="2" spans="1:2">
      <c r="A2" s="4"/>
      <c r="B2" s="4"/>
    </row>
    <row r="3" spans="1:2" ht="28">
      <c r="A3" s="9" t="s">
        <v>86</v>
      </c>
      <c r="B3" s="4" t="s">
        <v>87</v>
      </c>
    </row>
    <row r="4" spans="1:2" ht="28">
      <c r="A4" s="9" t="s">
        <v>88</v>
      </c>
      <c r="B4" s="4" t="s">
        <v>89</v>
      </c>
    </row>
    <row r="5" spans="1:2">
      <c r="A5" s="9" t="s">
        <v>90</v>
      </c>
      <c r="B5" s="4" t="s">
        <v>0</v>
      </c>
    </row>
    <row r="6" spans="1:2">
      <c r="A6" s="9" t="s">
        <v>91</v>
      </c>
      <c r="B6" s="4" t="s">
        <v>92</v>
      </c>
    </row>
    <row r="7" spans="1:2" ht="28">
      <c r="A7" s="9" t="s">
        <v>93</v>
      </c>
      <c r="B7" s="4" t="s">
        <v>94</v>
      </c>
    </row>
    <row r="8" spans="1:2">
      <c r="A8" s="4"/>
      <c r="B8" s="4"/>
    </row>
    <row r="9" spans="1:2">
      <c r="A9" s="2" t="s">
        <v>95</v>
      </c>
      <c r="B9" s="2"/>
    </row>
    <row r="10" spans="1:2">
      <c r="A10" s="8" t="s">
        <v>96</v>
      </c>
      <c r="B10" s="4" t="s">
        <v>97</v>
      </c>
    </row>
    <row r="11" spans="1:2">
      <c r="A11" s="8" t="s">
        <v>98</v>
      </c>
      <c r="B11" s="4" t="s">
        <v>99</v>
      </c>
    </row>
    <row r="12" spans="1:2" ht="28">
      <c r="A12" s="8" t="s">
        <v>100</v>
      </c>
      <c r="B12" s="4" t="s">
        <v>101</v>
      </c>
    </row>
    <row r="13" spans="1:2" ht="28">
      <c r="A13" s="8" t="s">
        <v>102</v>
      </c>
      <c r="B13" s="4" t="s">
        <v>103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4"/>
  <cols>
    <col min="1" max="1" width="18" customWidth="1"/>
    <col min="2" max="2" width="68" customWidth="1"/>
  </cols>
  <sheetData>
    <row r="1" spans="1:2">
      <c r="A1" s="10" t="s">
        <v>104</v>
      </c>
      <c r="B1" s="10" t="s">
        <v>105</v>
      </c>
    </row>
    <row r="2" spans="1:2">
      <c r="A2" s="7" t="s">
        <v>106</v>
      </c>
      <c r="B2">
        <f>COUNTA(장소정보!A2:A100)</f>
        <v>5</v>
      </c>
    </row>
    <row r="3" spans="1:2">
      <c r="A3" s="7" t="s">
        <v>107</v>
      </c>
      <c r="B3">
        <f>COUNTA(추천정보!A2:A100)</f>
        <v>15</v>
      </c>
    </row>
    <row r="4" spans="1:2">
      <c r="A4" s="7" t="s">
        <v>108</v>
      </c>
      <c r="B4" s="6">
        <f>AVERAGE(추천정보!F2:F100)</f>
        <v>5133.333333333333</v>
      </c>
    </row>
    <row r="5" spans="1:2">
      <c r="A5" s="7" t="s">
        <v>109</v>
      </c>
      <c r="B5">
        <f>COUNTIF(추천정보!F2:F100,0)</f>
        <v>9</v>
      </c>
    </row>
    <row r="7" spans="1:2">
      <c r="A7" s="1" t="s">
        <v>110</v>
      </c>
      <c r="B7" s="1"/>
    </row>
    <row r="8" spans="1:2">
      <c r="A8" s="11" t="s">
        <v>111</v>
      </c>
      <c r="B8" s="4" t="s">
        <v>112</v>
      </c>
    </row>
    <row r="9" spans="1:2">
      <c r="A9" s="11" t="s">
        <v>113</v>
      </c>
      <c r="B9" s="4" t="s">
        <v>114</v>
      </c>
    </row>
    <row r="10" spans="1:2">
      <c r="A10" s="11" t="s">
        <v>115</v>
      </c>
      <c r="B10" s="4" t="s">
        <v>116</v>
      </c>
    </row>
    <row r="11" spans="1:2">
      <c r="A11" s="11" t="s">
        <v>117</v>
      </c>
      <c r="B11" s="4" t="s">
        <v>118</v>
      </c>
    </row>
    <row r="12" spans="1:2">
      <c r="A12" s="11" t="s">
        <v>119</v>
      </c>
      <c r="B12" s="4" t="s">
        <v>120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기존데이터</vt:lpstr>
      <vt:lpstr>장소정보</vt:lpstr>
      <vt:lpstr>추천정보</vt:lpstr>
      <vt:lpstr>조인결과예시</vt:lpstr>
      <vt:lpstr>실습안내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Jeong Ah Kim</cp:lastModifiedBy>
  <dcterms:modified xsi:type="dcterms:W3CDTF">2026-05-22T23:45:44Z</dcterms:modified>
</cp:coreProperties>
</file>